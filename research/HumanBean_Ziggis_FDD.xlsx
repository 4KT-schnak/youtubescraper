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DD Summary" sheetId="1" state="visible" r:id="rId1"/>
    <sheet name="Lavazz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#,##0;(#,##0)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7F7F7F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4" fontId="0" fillId="4" borderId="0" applyAlignment="1" pivotButton="0" quotePrefix="0" xfId="0">
      <alignment horizontal="center"/>
    </xf>
    <xf numFmtId="1" fontId="0" fillId="0" borderId="0" pivotButton="0" quotePrefix="0" xfId="0"/>
    <xf numFmtId="1" fontId="0" fillId="4" borderId="0" applyAlignment="1" pivotButton="0" quotePrefix="0" xfId="0">
      <alignment horizontal="center"/>
    </xf>
    <xf numFmtId="3" fontId="0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1" fontId="2" fillId="0" borderId="0" pivotButton="0" quotePrefix="0" xfId="0"/>
    <xf numFmtId="0" fontId="4" fillId="0" borderId="0" pivotButton="0" quotePrefix="0" xfId="0"/>
    <xf numFmtId="166" fontId="4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2" fillId="0" borderId="0" pivotButton="0" quotePrefix="0" xfId="0"/>
    <xf numFmtId="167" fontId="0" fillId="0" borderId="0" pivotButton="0" quotePrefix="0" xfId="0"/>
    <xf numFmtId="166" fontId="0" fillId="4" borderId="0" applyAlignment="1" pivotButton="0" quotePrefix="0" xfId="0">
      <alignment horizontal="center"/>
    </xf>
    <xf numFmtId="167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center"/>
    </xf>
    <xf numFmtId="165" fontId="2" fillId="0" borderId="0" pivotButton="0" quotePrefix="0" xfId="0"/>
    <xf numFmtId="3" fontId="2" fillId="0" borderId="0" pivotButton="0" quotePrefix="0" xfId="0"/>
    <xf numFmtId="3" fontId="0" fillId="4" borderId="0" applyAlignment="1" pivotButton="0" quotePrefix="0" xfId="0">
      <alignment horizontal="center"/>
    </xf>
    <xf numFmtId="168" fontId="0" fillId="0" borderId="0" pivotButton="0" quotePrefix="0" xfId="0"/>
    <xf numFmtId="168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C7" authorId="0" shapeId="0">
      <text>
        <t>From a search snippet of the 2022 FDD; not checked against the source text</t>
      </text>
    </comment>
    <comment ref="D7" authorId="0" shapeId="0">
      <text>
        <t>Headline figure from Franchise Chatter; not checked against the source text</t>
      </text>
    </comment>
    <comment ref="C10" authorId="0" shapeId="0">
      <text>
        <t>From a search snippet of the 2022 FDD; not checked against the source text</t>
      </text>
    </comment>
    <comment ref="B21" authorId="0" shapeId="0">
      <text>
        <t>Estimated: Item 19 average daily sales x 365. That table includes stores open only part of the year.</t>
      </text>
    </comment>
    <comment ref="D21" authorId="0" shapeId="0">
      <text>
        <t>Estimated: Item 19 average daily sales x 365. That table includes stores open only part of the year.</t>
      </text>
    </comment>
    <comment ref="B22" authorId="0" shapeId="0">
      <text>
        <t>Stores in the daily-sales table</t>
      </text>
    </comment>
    <comment ref="D22" authorId="0" shapeId="0">
      <text>
        <t>Stores in the daily-sales table</t>
      </text>
    </comment>
    <comment ref="B23" authorId="0" shapeId="0">
      <text>
        <t>Estimated: Item 19 average daily sales x 365. That table includes stores open only part of the year.</t>
      </text>
    </comment>
    <comment ref="D23" authorId="0" shapeId="0">
      <text>
        <t>Estimated: Item 19 average daily sales x 365. That table includes stores open only part of the year.</t>
      </text>
    </comment>
    <comment ref="B24" authorId="0" shapeId="0">
      <text>
        <t>Stores in the daily-sales table</t>
      </text>
    </comment>
    <comment ref="D24" authorId="0" shapeId="0">
      <text>
        <t>Stores in the daily-sales table</t>
      </text>
    </comment>
    <comment ref="B25" authorId="0" shapeId="0">
      <text>
        <t>Estimated: Item 19 average daily sales x 365. That table includes stores open only part of the year.</t>
      </text>
    </comment>
    <comment ref="D25" authorId="0" shapeId="0">
      <text>
        <t>Estimated: Item 19 average daily sales x 365. That table includes stores open only part of the year.</t>
      </text>
    </comment>
    <comment ref="F25" authorId="0" shapeId="0">
      <text>
        <t>Calculated by Claude from the 4 stores listed individually in Item 19</t>
      </text>
    </comment>
    <comment ref="G25" authorId="0" shapeId="0">
      <text>
        <t>Calculated by Claude from the 4 stores listed individually in Item 19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E6" authorId="0" shapeId="0">
      <text>
        <t>Includes 9 months of MaxiCoffee (acquired March 2023)</t>
      </text>
    </comment>
    <comment ref="B15" authorId="0" shapeId="0">
      <text>
        <t>As restated in the 2022 report</t>
      </text>
    </comment>
    <comment ref="E15" authorId="0" shapeId="0">
      <text>
        <t>Turned negative after the MaxiCoffee acquisition</t>
      </text>
    </comment>
    <comment ref="F15" authorId="0" shapeId="0">
      <text>
        <t>49% stake in IVS Group acquired in 2024</t>
      </text>
    </comment>
    <comment ref="E17" authorId="0" shapeId="0">
      <text>
        <t>Cash flow from operating activities, as described in the 2023 report</t>
      </text>
    </comment>
    <comment ref="D20" authorId="0" shapeId="0">
      <text>
        <t>As reported. The 2023 report restated FY2022 to €1,279.5M after moving the UK into Non-EU</t>
      </text>
    </comment>
    <comment ref="D21" authorId="0" shapeId="0">
      <text>
        <t>As reported. Restated to €714.2M in the 2023 report</t>
      </text>
    </comment>
    <comment ref="B27" authorId="0" shapeId="0">
      <text>
        <t>Retail channel growth, as stated in the 2020 report</t>
      </text>
    </comment>
    <comment ref="B31" authorId="0" shapeId="0">
      <text>
        <t>Stated as 'over 4,000'</t>
      </text>
    </comment>
    <comment ref="E31" authorId="0" shapeId="0">
      <text>
        <t>Rise includes MaxiCoffee</t>
      </text>
    </comment>
    <comment ref="G35" authorId="0" shapeId="0">
      <text>
        <t>Approximate; check against the ECB annual average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Human Bean &amp; Ziggi's Coffee: FDD Item 19 AUV and Item 20 Unit Counts</t>
        </is>
      </c>
    </row>
    <row r="2">
      <c r="A2" s="2" t="inlineStr">
        <is>
          <t>Fiscal years end Dec 31. Grey italic = estimate or unverified (see cell comment). Orange = not found.</t>
        </is>
      </c>
    </row>
    <row r="4">
      <c r="A4" s="3" t="inlineStr">
        <is>
          <t>THE HUMAN BEAN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</row>
    <row r="5">
      <c r="A5" s="2" t="inlineStr">
        <is>
          <t>FDD issuance year</t>
        </is>
      </c>
      <c r="B5" s="5" t="n">
        <v>2021</v>
      </c>
      <c r="C5" s="5" t="n">
        <v>2022</v>
      </c>
      <c r="D5" s="5" t="n">
        <v>2023</v>
      </c>
      <c r="E5" s="5" t="n">
        <v>2024</v>
      </c>
      <c r="F5" s="5" t="n">
        <v>2025</v>
      </c>
      <c r="G5" s="5" t="n">
        <v>2026</v>
      </c>
    </row>
    <row r="6">
      <c r="A6" s="6" t="inlineStr">
        <is>
          <t>Average Unit Volume (gross sales, full-year stores)</t>
        </is>
      </c>
      <c r="B6" s="7" t="n"/>
      <c r="C6" s="7" t="n"/>
      <c r="D6" s="7" t="n"/>
      <c r="E6" s="7" t="n"/>
      <c r="F6" s="7" t="n"/>
      <c r="G6" s="7" t="n"/>
    </row>
    <row r="7">
      <c r="A7" t="inlineStr">
        <is>
          <t>Franchised – average</t>
        </is>
      </c>
      <c r="B7" s="8" t="n">
        <v>817813</v>
      </c>
      <c r="C7" s="9" t="n">
        <v>916432</v>
      </c>
      <c r="D7" s="9" t="n">
        <v>884000</v>
      </c>
      <c r="E7" s="10" t="inlineStr">
        <is>
          <t>n/a</t>
        </is>
      </c>
      <c r="F7" s="8" t="n">
        <v>847648</v>
      </c>
      <c r="G7" s="8" t="n">
        <v>813587</v>
      </c>
    </row>
    <row r="8">
      <c r="A8" t="inlineStr">
        <is>
          <t>Franchised – median</t>
        </is>
      </c>
      <c r="B8" s="8" t="n">
        <v>799439</v>
      </c>
      <c r="C8" s="10" t="inlineStr">
        <is>
          <t>n/a</t>
        </is>
      </c>
      <c r="D8" s="10" t="inlineStr">
        <is>
          <t>n/a</t>
        </is>
      </c>
      <c r="E8" s="10" t="inlineStr">
        <is>
          <t>n/a</t>
        </is>
      </c>
      <c r="F8" s="8" t="n">
        <v>799586</v>
      </c>
      <c r="G8" s="8" t="n">
        <v>783570</v>
      </c>
    </row>
    <row r="9">
      <c r="A9" t="inlineStr">
        <is>
          <t>Franchised – # stores in sample</t>
        </is>
      </c>
      <c r="B9" s="11" t="n">
        <v>81</v>
      </c>
      <c r="C9" s="12" t="inlineStr">
        <is>
          <t>n/a</t>
        </is>
      </c>
      <c r="D9" s="12" t="inlineStr">
        <is>
          <t>n/a</t>
        </is>
      </c>
      <c r="E9" s="12" t="inlineStr">
        <is>
          <t>n/a</t>
        </is>
      </c>
      <c r="F9" s="11" t="n">
        <v>140</v>
      </c>
      <c r="G9" s="11" t="n">
        <v>155</v>
      </c>
    </row>
    <row r="10">
      <c r="A10" t="inlineStr">
        <is>
          <t>Company-operated (affiliate) – average</t>
        </is>
      </c>
      <c r="B10" s="8" t="n">
        <v>828448</v>
      </c>
      <c r="C10" s="9" t="n">
        <v>909849</v>
      </c>
      <c r="D10" s="10" t="inlineStr">
        <is>
          <t>n/a</t>
        </is>
      </c>
      <c r="E10" s="10" t="inlineStr">
        <is>
          <t>n/a</t>
        </is>
      </c>
      <c r="F10" s="8" t="n">
        <v>896744</v>
      </c>
      <c r="G10" s="8" t="n">
        <v>891136</v>
      </c>
    </row>
    <row r="11">
      <c r="A11" t="inlineStr">
        <is>
          <t>Company-operated – # stores in sample</t>
        </is>
      </c>
      <c r="B11" s="11" t="n">
        <v>13</v>
      </c>
      <c r="C11" s="12" t="inlineStr">
        <is>
          <t>n/a</t>
        </is>
      </c>
      <c r="D11" s="12" t="inlineStr">
        <is>
          <t>n/a</t>
        </is>
      </c>
      <c r="E11" s="12" t="inlineStr">
        <is>
          <t>n/a</t>
        </is>
      </c>
      <c r="F11" s="11" t="n">
        <v>11</v>
      </c>
      <c r="G11" s="11" t="n">
        <v>12</v>
      </c>
    </row>
    <row r="12">
      <c r="A12" s="6" t="inlineStr">
        <is>
          <t>Units at end of period (Item 20)</t>
        </is>
      </c>
      <c r="B12" s="7" t="n"/>
      <c r="C12" s="7" t="n"/>
      <c r="D12" s="7" t="n"/>
      <c r="E12" s="7" t="n"/>
      <c r="F12" s="7" t="n"/>
      <c r="G12" s="7" t="n"/>
    </row>
    <row r="13">
      <c r="A13" t="inlineStr">
        <is>
          <t>Franchised</t>
        </is>
      </c>
      <c r="B13" s="13" t="n">
        <v>100</v>
      </c>
      <c r="C13" s="13" t="n">
        <v>116</v>
      </c>
      <c r="D13" s="13" t="n">
        <v>133</v>
      </c>
      <c r="E13" s="13" t="n">
        <v>146</v>
      </c>
      <c r="F13" s="13" t="n">
        <v>165</v>
      </c>
      <c r="G13" s="13" t="n">
        <v>176</v>
      </c>
    </row>
    <row r="14">
      <c r="A14" t="inlineStr">
        <is>
          <t>Company-operated</t>
        </is>
      </c>
      <c r="B14" s="13" t="n">
        <v>13</v>
      </c>
      <c r="C14" s="13" t="n">
        <v>13</v>
      </c>
      <c r="D14" s="13" t="n">
        <v>12</v>
      </c>
      <c r="E14" s="13" t="n">
        <v>12</v>
      </c>
      <c r="F14" s="13" t="n">
        <v>12</v>
      </c>
      <c r="G14" s="13" t="n">
        <v>12</v>
      </c>
    </row>
    <row r="15">
      <c r="A15" t="inlineStr">
        <is>
          <t>Total</t>
        </is>
      </c>
      <c r="B15" s="14">
        <f>B13+B14</f>
        <v/>
      </c>
      <c r="C15" s="14">
        <f>C13+C14</f>
        <v/>
      </c>
      <c r="D15" s="14">
        <f>D13+D14</f>
        <v/>
      </c>
      <c r="E15" s="14">
        <f>E13+E14</f>
        <v/>
      </c>
      <c r="F15" s="14">
        <f>F13+F14</f>
        <v/>
      </c>
      <c r="G15" s="14">
        <f>G13+G14</f>
        <v/>
      </c>
    </row>
    <row r="16">
      <c r="A16" t="inlineStr">
        <is>
          <t>% franchised</t>
        </is>
      </c>
      <c r="B16" s="15">
        <f>B13/(B13+B14)</f>
        <v/>
      </c>
      <c r="C16" s="15">
        <f>C13/(C13+C14)</f>
        <v/>
      </c>
      <c r="D16" s="15">
        <f>D13/(D13+D14)</f>
        <v/>
      </c>
      <c r="E16" s="15">
        <f>E13/(E13+E14)</f>
        <v/>
      </c>
      <c r="F16" s="15">
        <f>F13/(F13+F14)</f>
        <v/>
      </c>
      <c r="G16" s="15">
        <f>G13/(G13+G14)</f>
        <v/>
      </c>
    </row>
    <row r="18">
      <c r="A18" s="3" t="inlineStr">
        <is>
          <t>ZIGGI'S COFFEE</t>
        </is>
      </c>
      <c r="B18" s="4" t="inlineStr">
        <is>
          <t>FY2020</t>
        </is>
      </c>
      <c r="C18" s="4" t="inlineStr">
        <is>
          <t>FY2021</t>
        </is>
      </c>
      <c r="D18" s="4" t="inlineStr">
        <is>
          <t>FY2022</t>
        </is>
      </c>
      <c r="E18" s="4" t="inlineStr">
        <is>
          <t>FY2023</t>
        </is>
      </c>
      <c r="F18" s="4" t="inlineStr">
        <is>
          <t>FY2024</t>
        </is>
      </c>
      <c r="G18" s="4" t="inlineStr">
        <is>
          <t>FY2025</t>
        </is>
      </c>
    </row>
    <row r="19">
      <c r="A19" s="2" t="inlineStr">
        <is>
          <t>FDD issuance year</t>
        </is>
      </c>
      <c r="B19" s="5" t="n">
        <v>2021</v>
      </c>
      <c r="C19" s="5" t="n">
        <v>2022</v>
      </c>
      <c r="D19" s="5" t="n">
        <v>2023</v>
      </c>
      <c r="E19" s="5" t="n">
        <v>2024</v>
      </c>
      <c r="F19" s="5" t="n">
        <v>2025</v>
      </c>
      <c r="G19" s="5" t="n">
        <v>2026</v>
      </c>
    </row>
    <row r="20">
      <c r="A20" s="6" t="inlineStr">
        <is>
          <t>Average Unit Volume (total sales, full-year stores)</t>
        </is>
      </c>
      <c r="B20" s="7" t="n"/>
      <c r="C20" s="7" t="n"/>
      <c r="D20" s="7" t="n"/>
      <c r="E20" s="7" t="n"/>
      <c r="F20" s="7" t="n"/>
      <c r="G20" s="7" t="n"/>
    </row>
    <row r="21">
      <c r="A21" t="inlineStr">
        <is>
          <t>Franchised Drive-Thru – average</t>
        </is>
      </c>
      <c r="B21" s="9" t="n">
        <v>681090</v>
      </c>
      <c r="C21" s="8" t="n">
        <v>847415</v>
      </c>
      <c r="D21" s="9" t="n">
        <v>818330</v>
      </c>
      <c r="E21" s="8" t="n">
        <v>784666</v>
      </c>
      <c r="F21" s="8" t="n">
        <v>794739</v>
      </c>
      <c r="G21" s="8" t="n">
        <v>836537</v>
      </c>
    </row>
    <row r="22">
      <c r="A22" t="inlineStr">
        <is>
          <t>Franchised Drive-Thru – # stores</t>
        </is>
      </c>
      <c r="B22" s="16" t="n">
        <v>12</v>
      </c>
      <c r="C22" s="11" t="n">
        <v>13</v>
      </c>
      <c r="D22" s="16" t="n">
        <v>30</v>
      </c>
      <c r="E22" s="11" t="n">
        <v>32</v>
      </c>
      <c r="F22" s="11" t="n">
        <v>40</v>
      </c>
      <c r="G22" s="11" t="n">
        <v>55</v>
      </c>
    </row>
    <row r="23">
      <c r="A23" t="inlineStr">
        <is>
          <t>Franchised Café w/ Drive-Thru – average</t>
        </is>
      </c>
      <c r="B23" s="9" t="n">
        <v>809935</v>
      </c>
      <c r="C23" s="8" t="n">
        <v>945440</v>
      </c>
      <c r="D23" s="9" t="n">
        <v>919800</v>
      </c>
      <c r="E23" s="8" t="n">
        <v>796838</v>
      </c>
      <c r="F23" s="8" t="n">
        <v>802361</v>
      </c>
      <c r="G23" s="8" t="n">
        <v>836010</v>
      </c>
    </row>
    <row r="24">
      <c r="A24" t="inlineStr">
        <is>
          <t>Franchised Café w/ Drive-Thru – # stores</t>
        </is>
      </c>
      <c r="B24" s="16" t="n">
        <v>6</v>
      </c>
      <c r="C24" s="11" t="n">
        <v>7</v>
      </c>
      <c r="D24" s="16" t="n">
        <v>23</v>
      </c>
      <c r="E24" s="11" t="n">
        <v>23</v>
      </c>
      <c r="F24" s="11" t="n">
        <v>29</v>
      </c>
      <c r="G24" s="11" t="n">
        <v>35</v>
      </c>
    </row>
    <row r="25">
      <c r="A25" t="inlineStr">
        <is>
          <t>Company-operated Drive-Thru – average (4 stores)</t>
        </is>
      </c>
      <c r="B25" s="9" t="n">
        <v>963965</v>
      </c>
      <c r="C25" s="8" t="n">
        <v>1145958</v>
      </c>
      <c r="D25" s="9" t="n">
        <v>1108140</v>
      </c>
      <c r="E25" s="8" t="n">
        <v>1063185</v>
      </c>
      <c r="F25" s="9" t="n">
        <v>1121431</v>
      </c>
      <c r="G25" s="9" t="n">
        <v>1151310</v>
      </c>
    </row>
    <row r="26">
      <c r="A26" s="6" t="inlineStr">
        <is>
          <t>Units at end of period (Item 20)</t>
        </is>
      </c>
      <c r="B26" s="7" t="n"/>
      <c r="C26" s="7" t="n"/>
      <c r="D26" s="7" t="n"/>
      <c r="E26" s="7" t="n"/>
      <c r="F26" s="7" t="n"/>
      <c r="G26" s="7" t="n"/>
    </row>
    <row r="27">
      <c r="A27" t="inlineStr">
        <is>
          <t>Franchised</t>
        </is>
      </c>
      <c r="B27" s="13" t="n">
        <v>20</v>
      </c>
      <c r="C27" s="13" t="n">
        <v>37</v>
      </c>
      <c r="D27" s="13" t="n">
        <v>57</v>
      </c>
      <c r="E27" s="13" t="n">
        <v>71</v>
      </c>
      <c r="F27" s="13" t="n">
        <v>93</v>
      </c>
      <c r="G27" s="13" t="n">
        <v>107</v>
      </c>
    </row>
    <row r="28">
      <c r="A28" t="inlineStr">
        <is>
          <t>Company-operated</t>
        </is>
      </c>
      <c r="B28" s="13" t="n">
        <v>7</v>
      </c>
      <c r="C28" s="13" t="n">
        <v>8</v>
      </c>
      <c r="D28" s="13" t="n">
        <v>8</v>
      </c>
      <c r="E28" s="13" t="n">
        <v>7</v>
      </c>
      <c r="F28" s="13" t="n">
        <v>7</v>
      </c>
      <c r="G28" s="13" t="n">
        <v>8</v>
      </c>
    </row>
    <row r="29">
      <c r="A29" t="inlineStr">
        <is>
          <t>Total</t>
        </is>
      </c>
      <c r="B29" s="14">
        <f>B27+B28</f>
        <v/>
      </c>
      <c r="C29" s="14">
        <f>C27+C28</f>
        <v/>
      </c>
      <c r="D29" s="14">
        <f>D27+D28</f>
        <v/>
      </c>
      <c r="E29" s="14">
        <f>E27+E28</f>
        <v/>
      </c>
      <c r="F29" s="14">
        <f>F27+F28</f>
        <v/>
      </c>
      <c r="G29" s="14">
        <f>G27+G28</f>
        <v/>
      </c>
    </row>
    <row r="30">
      <c r="A30" t="inlineStr">
        <is>
          <t>% franchised</t>
        </is>
      </c>
      <c r="B30" s="15">
        <f>B27/(B27+B28)</f>
        <v/>
      </c>
      <c r="C30" s="15">
        <f>C27/(C27+C28)</f>
        <v/>
      </c>
      <c r="D30" s="15">
        <f>D27/(D27+D28)</f>
        <v/>
      </c>
      <c r="E30" s="15">
        <f>E27/(E27+E28)</f>
        <v/>
      </c>
      <c r="F30" s="15">
        <f>F27/(F27+F28)</f>
        <v/>
      </c>
      <c r="G30" s="15">
        <f>G27/(G27+G28)</f>
        <v/>
      </c>
    </row>
    <row r="32">
      <c r="A32" s="17" t="inlineStr">
        <is>
          <t>Sources</t>
        </is>
      </c>
    </row>
    <row r="33">
      <c r="A33" s="2" t="inlineStr">
        <is>
          <t>Human Bean FY2024 &amp; FY2025: FDD PDFs (Items 19/20), restfinance.com/app/pdf/fdd/</t>
        </is>
      </c>
    </row>
    <row r="34">
      <c r="A34" s="2" t="inlineStr">
        <is>
          <t>Human Bean FY2020–FY2023: Franchise Chatter write-ups of the 2021–2024 FDDs</t>
        </is>
      </c>
    </row>
    <row r="35">
      <c r="A35" s="2" t="inlineStr">
        <is>
          <t>Ziggi's FY2024 &amp; FY2025: FDD PDFs (Items 19/20); the daily-sales table (Item 19, Table E) covers 2019–2025</t>
        </is>
      </c>
    </row>
    <row r="36">
      <c r="A36" s="2" t="inlineStr">
        <is>
          <t>Ziggi's FY2021 &amp; FY2023: Franchise Chatter write-ups of the 2022 and 2024 FDDs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Lavazza Group: Reported Metrics FY2020–FY2025</t>
        </is>
      </c>
    </row>
    <row r="2">
      <c r="A2" s="2" t="inlineStr">
        <is>
          <t>Source: Lavazza Group consolidated annual reports (IFRS). € millions unless noted. Lavazza does not report US revenue on its own.</t>
        </is>
      </c>
    </row>
    <row r="4">
      <c r="A4" s="3" t="inlineStr">
        <is>
          <t>Metric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</row>
    <row r="5">
      <c r="A5" s="6" t="inlineStr">
        <is>
          <t>Group P&amp;L (consolidated)</t>
        </is>
      </c>
      <c r="B5" s="7" t="n"/>
      <c r="C5" s="7" t="n"/>
      <c r="D5" s="7" t="n"/>
      <c r="E5" s="7" t="n"/>
      <c r="F5" s="7" t="n"/>
      <c r="G5" s="7" t="n"/>
    </row>
    <row r="6">
      <c r="A6" t="inlineStr">
        <is>
          <t>Revenue</t>
        </is>
      </c>
      <c r="B6" s="18" t="n">
        <v>2085.3</v>
      </c>
      <c r="C6" s="18" t="n">
        <v>2308.4</v>
      </c>
      <c r="D6" s="18" t="n">
        <v>2715.5</v>
      </c>
      <c r="E6" s="19" t="n">
        <v>3068.9</v>
      </c>
      <c r="F6" s="18" t="n">
        <v>3349.1</v>
      </c>
      <c r="G6" s="18" t="n">
        <v>3875.3</v>
      </c>
    </row>
    <row r="7">
      <c r="A7" t="inlineStr">
        <is>
          <t>Revenue growth (YoY)</t>
        </is>
      </c>
      <c r="B7" s="20" t="n">
        <v>-0.052</v>
      </c>
      <c r="C7" s="20">
        <f>C6/B6-1</f>
        <v/>
      </c>
      <c r="D7" s="20">
        <f>D6/C6-1</f>
        <v/>
      </c>
      <c r="E7" s="20">
        <f>E6/D6-1</f>
        <v/>
      </c>
      <c r="F7" s="20">
        <f>F6/E6-1</f>
        <v/>
      </c>
      <c r="G7" s="20">
        <f>G6/F6-1</f>
        <v/>
      </c>
    </row>
    <row r="8">
      <c r="A8" t="inlineStr">
        <is>
          <t>EBITDA</t>
        </is>
      </c>
      <c r="B8" s="21" t="n">
        <v>252.8</v>
      </c>
      <c r="C8" s="21" t="n">
        <v>312</v>
      </c>
      <c r="D8" s="21" t="n">
        <v>309</v>
      </c>
      <c r="E8" s="21" t="n">
        <v>263</v>
      </c>
      <c r="F8" s="21" t="n">
        <v>312.1</v>
      </c>
      <c r="G8" s="21" t="n">
        <v>339.6</v>
      </c>
    </row>
    <row r="9">
      <c r="A9" t="inlineStr">
        <is>
          <t>EBITDA margin</t>
        </is>
      </c>
      <c r="B9" s="20">
        <f>B8/B6</f>
        <v/>
      </c>
      <c r="C9" s="20">
        <f>C8/C6</f>
        <v/>
      </c>
      <c r="D9" s="20">
        <f>D8/D6</f>
        <v/>
      </c>
      <c r="E9" s="20">
        <f>E8/E6</f>
        <v/>
      </c>
      <c r="F9" s="20">
        <f>F8/F6</f>
        <v/>
      </c>
      <c r="G9" s="20">
        <f>G8/G6</f>
        <v/>
      </c>
    </row>
    <row r="10">
      <c r="A10" t="inlineStr">
        <is>
          <t>EBITDA margin (as reported)</t>
        </is>
      </c>
      <c r="B10" s="20" t="n">
        <v>0.121</v>
      </c>
      <c r="C10" s="20" t="n">
        <v>0.135</v>
      </c>
      <c r="D10" s="20" t="n">
        <v>0.114</v>
      </c>
      <c r="E10" s="20" t="n">
        <v>0.08599999999999999</v>
      </c>
      <c r="F10" s="20" t="n">
        <v>0.093</v>
      </c>
      <c r="G10" s="20" t="n">
        <v>0.08799999999999999</v>
      </c>
    </row>
    <row r="11">
      <c r="A11" t="inlineStr">
        <is>
          <t>EBIT</t>
        </is>
      </c>
      <c r="B11" s="21" t="n">
        <v>107.7</v>
      </c>
      <c r="C11" s="21" t="n">
        <v>164</v>
      </c>
      <c r="D11" s="21" t="n">
        <v>160</v>
      </c>
      <c r="E11" s="21" t="n">
        <v>97</v>
      </c>
      <c r="F11" s="21" t="n">
        <v>130.5</v>
      </c>
      <c r="G11" s="21" t="n">
        <v>157.1</v>
      </c>
    </row>
    <row r="12">
      <c r="A12" t="inlineStr">
        <is>
          <t>EBIT margin</t>
        </is>
      </c>
      <c r="B12" s="20">
        <f>B11/B6</f>
        <v/>
      </c>
      <c r="C12" s="20">
        <f>C11/C6</f>
        <v/>
      </c>
      <c r="D12" s="20">
        <f>D11/D6</f>
        <v/>
      </c>
      <c r="E12" s="20">
        <f>E11/E6</f>
        <v/>
      </c>
      <c r="F12" s="20">
        <f>F11/F6</f>
        <v/>
      </c>
      <c r="G12" s="20">
        <f>G11/G6</f>
        <v/>
      </c>
    </row>
    <row r="13">
      <c r="A13" t="inlineStr">
        <is>
          <t>Net profit (Group consolidated result)</t>
        </is>
      </c>
      <c r="B13" s="21" t="n">
        <v>72.90000000000001</v>
      </c>
      <c r="C13" s="21" t="n">
        <v>105.5</v>
      </c>
      <c r="D13" s="21" t="n">
        <v>94.59999999999999</v>
      </c>
      <c r="E13" s="21" t="n">
        <v>67.90000000000001</v>
      </c>
      <c r="F13" s="21" t="n">
        <v>82.40000000000001</v>
      </c>
      <c r="G13" s="21" t="n">
        <v>91.7</v>
      </c>
    </row>
    <row r="14">
      <c r="A14" s="6" t="inlineStr">
        <is>
          <t>Balance sheet / cash</t>
        </is>
      </c>
      <c r="B14" s="7" t="n"/>
      <c r="C14" s="7" t="n"/>
      <c r="D14" s="7" t="n"/>
      <c r="E14" s="7" t="n"/>
      <c r="F14" s="7" t="n"/>
      <c r="G14" s="7" t="n"/>
    </row>
    <row r="15">
      <c r="A15" t="inlineStr">
        <is>
          <t>Net financial position (+ cash / − debt)</t>
        </is>
      </c>
      <c r="B15" s="22" t="n">
        <v>102</v>
      </c>
      <c r="C15" s="23" t="n">
        <v>283</v>
      </c>
      <c r="D15" s="23" t="n">
        <v>136</v>
      </c>
      <c r="E15" s="22" t="n">
        <v>-292</v>
      </c>
      <c r="F15" s="22" t="n">
        <v>-511</v>
      </c>
      <c r="G15" s="23" t="n">
        <v>-432</v>
      </c>
    </row>
    <row r="16">
      <c r="A16" t="inlineStr">
        <is>
          <t>Free cash flow</t>
        </is>
      </c>
      <c r="B16" s="24" t="inlineStr">
        <is>
          <t>n/d</t>
        </is>
      </c>
      <c r="C16" s="24" t="inlineStr">
        <is>
          <t>n/d</t>
        </is>
      </c>
      <c r="D16" s="24" t="inlineStr">
        <is>
          <t>n/d</t>
        </is>
      </c>
      <c r="E16" s="24" t="inlineStr">
        <is>
          <t>n/d</t>
        </is>
      </c>
      <c r="F16" s="24" t="inlineStr">
        <is>
          <t>n/d</t>
        </is>
      </c>
      <c r="G16" s="21" t="n">
        <v>168</v>
      </c>
    </row>
    <row r="17">
      <c r="A17" t="inlineStr">
        <is>
          <t>Operating cash generation</t>
        </is>
      </c>
      <c r="B17" s="25" t="inlineStr">
        <is>
          <t>n/d</t>
        </is>
      </c>
      <c r="C17" s="23" t="n">
        <v>203</v>
      </c>
      <c r="D17" s="25" t="inlineStr">
        <is>
          <t>n/d</t>
        </is>
      </c>
      <c r="E17" s="22" t="n">
        <v>-17</v>
      </c>
      <c r="F17" s="25" t="inlineStr">
        <is>
          <t>n/d</t>
        </is>
      </c>
      <c r="G17" s="25" t="inlineStr">
        <is>
          <t>n/d</t>
        </is>
      </c>
    </row>
    <row r="18">
      <c r="A18" s="6" t="inlineStr">
        <is>
          <t>Revenue by geography (IFRS 15 note)</t>
        </is>
      </c>
      <c r="B18" s="7" t="n"/>
      <c r="C18" s="7" t="n"/>
      <c r="D18" s="7" t="n"/>
      <c r="E18" s="7" t="n"/>
      <c r="F18" s="7" t="n"/>
      <c r="G18" s="7" t="n"/>
    </row>
    <row r="19">
      <c r="A19" t="inlineStr">
        <is>
          <t>Italy</t>
        </is>
      </c>
      <c r="B19" s="21" t="n">
        <v>630.2</v>
      </c>
      <c r="C19" s="21" t="n">
        <v>671.2</v>
      </c>
      <c r="D19" s="21" t="n">
        <v>721.7</v>
      </c>
      <c r="E19" s="21" t="n">
        <v>754.5</v>
      </c>
      <c r="F19" s="21" t="n">
        <v>782.2</v>
      </c>
      <c r="G19" s="21" t="n">
        <v>901.3</v>
      </c>
    </row>
    <row r="20">
      <c r="A20" t="inlineStr">
        <is>
          <t>Other EU countries (+ UK through 2022)</t>
        </is>
      </c>
      <c r="B20" s="21" t="n">
        <v>1046.1</v>
      </c>
      <c r="C20" s="21" t="n">
        <v>1190.3</v>
      </c>
      <c r="D20" s="19" t="n">
        <v>1444.4</v>
      </c>
      <c r="E20" s="21" t="n">
        <v>1562.4</v>
      </c>
      <c r="F20" s="21" t="n">
        <v>1725.3</v>
      </c>
      <c r="G20" s="21" t="n">
        <v>1989.1</v>
      </c>
    </row>
    <row r="21">
      <c r="A21" t="inlineStr">
        <is>
          <t>Non-EU countries (includes North America)</t>
        </is>
      </c>
      <c r="B21" s="18" t="n">
        <v>409</v>
      </c>
      <c r="C21" s="18" t="n">
        <v>447</v>
      </c>
      <c r="D21" s="19" t="n">
        <v>549.3</v>
      </c>
      <c r="E21" s="18" t="n">
        <v>752</v>
      </c>
      <c r="F21" s="18" t="n">
        <v>841.6</v>
      </c>
      <c r="G21" s="18" t="n">
        <v>984.9</v>
      </c>
    </row>
    <row r="22">
      <c r="A22" t="inlineStr">
        <is>
          <t>Non-EU share of revenue</t>
        </is>
      </c>
      <c r="B22" s="20">
        <f>B21/B6</f>
        <v/>
      </c>
      <c r="C22" s="20">
        <f>C21/C6</f>
        <v/>
      </c>
      <c r="D22" s="20">
        <f>D21/D6</f>
        <v/>
      </c>
      <c r="E22" s="20">
        <f>E21/E6</f>
        <v/>
      </c>
      <c r="F22" s="20">
        <f>F21/F6</f>
        <v/>
      </c>
      <c r="G22" s="20">
        <f>G21/G6</f>
        <v/>
      </c>
    </row>
    <row r="23">
      <c r="A23" s="6" t="inlineStr">
        <is>
          <t>US / North America disclosures (growth rates only; no dollar amounts)</t>
        </is>
      </c>
      <c r="B23" s="7" t="n"/>
      <c r="C23" s="7" t="n"/>
      <c r="D23" s="7" t="n"/>
      <c r="E23" s="7" t="n"/>
      <c r="F23" s="7" t="n"/>
      <c r="G23" s="7" t="n"/>
    </row>
    <row r="24">
      <c r="A24" t="inlineStr">
        <is>
          <t>North America revenue growth</t>
        </is>
      </c>
      <c r="B24" s="26" t="inlineStr">
        <is>
          <t>n/d</t>
        </is>
      </c>
      <c r="C24" s="26" t="inlineStr">
        <is>
          <t>n/d</t>
        </is>
      </c>
      <c r="D24" s="26" t="inlineStr">
        <is>
          <t>n/d</t>
        </is>
      </c>
      <c r="E24" s="26" t="inlineStr">
        <is>
          <t>n/d</t>
        </is>
      </c>
      <c r="F24" s="26" t="inlineStr">
        <is>
          <t>n/d</t>
        </is>
      </c>
      <c r="G24" s="20" t="n">
        <v>0.269</v>
      </c>
    </row>
    <row r="25">
      <c r="A25" t="inlineStr">
        <is>
          <t>US sales growth</t>
        </is>
      </c>
      <c r="B25" s="26" t="inlineStr">
        <is>
          <t>n/d</t>
        </is>
      </c>
      <c r="C25" s="26" t="inlineStr">
        <is>
          <t>n/d</t>
        </is>
      </c>
      <c r="D25" s="26" t="inlineStr">
        <is>
          <t>n/d</t>
        </is>
      </c>
      <c r="E25" s="26" t="inlineStr">
        <is>
          <t>n/d</t>
        </is>
      </c>
      <c r="F25" s="20" t="n">
        <v>0.12</v>
      </c>
      <c r="G25" s="26" t="inlineStr">
        <is>
          <t>n/d</t>
        </is>
      </c>
    </row>
    <row r="26">
      <c r="A26" t="inlineStr">
        <is>
          <t>North America retail-channel revenue growth</t>
        </is>
      </c>
      <c r="B26" s="20" t="n">
        <v>0.47</v>
      </c>
      <c r="C26" s="26" t="inlineStr">
        <is>
          <t>n/d</t>
        </is>
      </c>
      <c r="D26" s="26" t="inlineStr">
        <is>
          <t>n/d</t>
        </is>
      </c>
      <c r="E26" s="26" t="inlineStr">
        <is>
          <t>n/d</t>
        </is>
      </c>
      <c r="F26" s="26" t="inlineStr">
        <is>
          <t>n/d</t>
        </is>
      </c>
      <c r="G26" s="26" t="inlineStr">
        <is>
          <t>n/d</t>
        </is>
      </c>
    </row>
    <row r="27">
      <c r="A27" t="inlineStr">
        <is>
          <t>US retail sell-out growth (by value)</t>
        </is>
      </c>
      <c r="B27" s="27" t="n">
        <v>0.22</v>
      </c>
      <c r="C27" s="20" t="n">
        <v>0.045</v>
      </c>
      <c r="D27" s="20" t="n">
        <v>0.141</v>
      </c>
      <c r="E27" s="20" t="n">
        <v>0.098</v>
      </c>
      <c r="F27" s="20" t="n">
        <v>0.022</v>
      </c>
      <c r="G27" s="20" t="n">
        <v>0.32</v>
      </c>
    </row>
    <row r="28">
      <c r="A28" t="inlineStr">
        <is>
          <t>Canada retail-channel growth</t>
        </is>
      </c>
      <c r="B28" s="20" t="n">
        <v>0.285</v>
      </c>
      <c r="C28" s="26" t="inlineStr">
        <is>
          <t>n/d</t>
        </is>
      </c>
      <c r="D28" s="26" t="inlineStr">
        <is>
          <t>n/d</t>
        </is>
      </c>
      <c r="E28" s="26" t="inlineStr">
        <is>
          <t>n/d</t>
        </is>
      </c>
      <c r="F28" s="26" t="inlineStr">
        <is>
          <t>n/d</t>
        </is>
      </c>
      <c r="G28" s="26" t="inlineStr">
        <is>
          <t>n/d</t>
        </is>
      </c>
    </row>
    <row r="29">
      <c r="A29" t="inlineStr">
        <is>
          <t>North America volume growth</t>
        </is>
      </c>
      <c r="B29" s="26" t="inlineStr">
        <is>
          <t>n/d</t>
        </is>
      </c>
      <c r="C29" s="26" t="inlineStr">
        <is>
          <t>n/d</t>
        </is>
      </c>
      <c r="D29" s="26" t="inlineStr">
        <is>
          <t>n/d</t>
        </is>
      </c>
      <c r="E29" s="26" t="inlineStr">
        <is>
          <t>n/d</t>
        </is>
      </c>
      <c r="F29" s="26" t="inlineStr">
        <is>
          <t>n/d</t>
        </is>
      </c>
      <c r="G29" s="20" t="n">
        <v>0.04</v>
      </c>
    </row>
    <row r="30">
      <c r="A30" s="6" t="inlineStr">
        <is>
          <t>Other</t>
        </is>
      </c>
      <c r="B30" s="7" t="n"/>
      <c r="C30" s="7" t="n"/>
      <c r="D30" s="7" t="n"/>
      <c r="E30" s="7" t="n"/>
      <c r="F30" s="7" t="n"/>
      <c r="G30" s="7" t="n"/>
    </row>
    <row r="31">
      <c r="A31" t="inlineStr">
        <is>
          <t>Group employees (approx., as stated)</t>
        </is>
      </c>
      <c r="B31" s="28" t="n">
        <v>4000</v>
      </c>
      <c r="C31" s="13" t="n">
        <v>4200</v>
      </c>
      <c r="D31" s="13" t="n">
        <v>4000</v>
      </c>
      <c r="E31" s="28" t="n">
        <v>5500</v>
      </c>
      <c r="F31" s="29" t="inlineStr">
        <is>
          <t>n/d</t>
        </is>
      </c>
      <c r="G31" s="13" t="n">
        <v>5800</v>
      </c>
    </row>
    <row r="32">
      <c r="A32" t="inlineStr">
        <is>
          <t>Parent company headcount (Luigi Lavazza S.p.A.)</t>
        </is>
      </c>
      <c r="B32" s="13" t="n">
        <v>1741</v>
      </c>
      <c r="C32" s="13" t="n">
        <v>1781</v>
      </c>
      <c r="D32" s="13" t="n">
        <v>1790</v>
      </c>
      <c r="E32" s="13" t="n">
        <v>1854</v>
      </c>
      <c r="F32" s="13" t="n">
        <v>1843</v>
      </c>
      <c r="G32" s="29" t="inlineStr">
        <is>
          <t>n/d</t>
        </is>
      </c>
    </row>
    <row r="33">
      <c r="A33" t="inlineStr">
        <is>
          <t>Parent company capex</t>
        </is>
      </c>
      <c r="B33" s="21" t="n">
        <v>56.3</v>
      </c>
      <c r="C33" s="21" t="n">
        <v>64.5</v>
      </c>
      <c r="D33" s="21" t="n">
        <v>65.8</v>
      </c>
      <c r="E33" s="21" t="n">
        <v>50.1</v>
      </c>
      <c r="F33" s="24" t="inlineStr">
        <is>
          <t>n/d</t>
        </is>
      </c>
      <c r="G33" s="24" t="inlineStr">
        <is>
          <t>n/d</t>
        </is>
      </c>
    </row>
    <row r="34">
      <c r="A34" s="6" t="inlineStr">
        <is>
          <t>FX helper (approximate ECB annual average EUR/USD)</t>
        </is>
      </c>
      <c r="B34" s="7" t="n"/>
      <c r="C34" s="7" t="n"/>
      <c r="D34" s="7" t="n"/>
      <c r="E34" s="7" t="n"/>
      <c r="F34" s="7" t="n"/>
      <c r="G34" s="7" t="n"/>
    </row>
    <row r="35">
      <c r="A35" t="inlineStr">
        <is>
          <t>EUR/USD</t>
        </is>
      </c>
      <c r="B35" s="30" t="n">
        <v>1.142</v>
      </c>
      <c r="C35" s="30" t="n">
        <v>1.183</v>
      </c>
      <c r="D35" s="30" t="n">
        <v>1.053</v>
      </c>
      <c r="E35" s="30" t="n">
        <v>1.081</v>
      </c>
      <c r="F35" s="30" t="n">
        <v>1.082</v>
      </c>
      <c r="G35" s="31" t="n">
        <v>1.13</v>
      </c>
    </row>
    <row r="36">
      <c r="A36" t="inlineStr">
        <is>
          <t>Revenue in US$ millions</t>
        </is>
      </c>
      <c r="B36" s="13">
        <f>B6*B35</f>
        <v/>
      </c>
      <c r="C36" s="13">
        <f>C6*C35</f>
        <v/>
      </c>
      <c r="D36" s="13">
        <f>D6*D35</f>
        <v/>
      </c>
      <c r="E36" s="13">
        <f>E6*E35</f>
        <v/>
      </c>
      <c r="F36" s="13">
        <f>F6*F35</f>
        <v/>
      </c>
      <c r="G36" s="13">
        <f>G6*G35</f>
        <v/>
      </c>
    </row>
    <row r="37">
      <c r="A37" t="inlineStr">
        <is>
          <t>Non-EU revenue in US$ millions</t>
        </is>
      </c>
      <c r="B37" s="13">
        <f>B21*B35</f>
        <v/>
      </c>
      <c r="C37" s="13">
        <f>C21*C35</f>
        <v/>
      </c>
      <c r="D37" s="13">
        <f>D21*D35</f>
        <v/>
      </c>
      <c r="E37" s="13">
        <f>E21*E35</f>
        <v/>
      </c>
      <c r="F37" s="13">
        <f>F21*F35</f>
        <v/>
      </c>
      <c r="G37" s="13">
        <f>G21*G35</f>
        <v/>
      </c>
    </row>
    <row r="39">
      <c r="A39" s="2" t="inlineStr">
        <is>
          <t>Orange = not disclosed that year. Grey italic = see cell comment.</t>
        </is>
      </c>
    </row>
    <row r="40">
      <c r="A40" s="2" t="inlineStr">
        <is>
          <t>Reports: lavazzagroup.com/en/who-we-are/results.html (FY2020–FY2025 annual reports)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2026-09-24T23:33:26Z</dcterms:created>
  <dcterms:modified xsi:type="dcterms:W3CDTF">2026-09-25T00:21:54Z</dcterms:modified>
</cp:coreProperties>
</file>