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7F7F7F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64" fontId="2" fillId="0" borderId="0" pivotButton="0" quotePrefix="0" xfId="0"/>
    <xf numFmtId="164" fontId="0" fillId="4" borderId="0" applyAlignment="1" pivotButton="0" quotePrefix="0" xfId="0">
      <alignment horizontal="center"/>
    </xf>
    <xf numFmtId="1" fontId="0" fillId="0" borderId="0" pivotButton="0" quotePrefix="0" xfId="0"/>
    <xf numFmtId="1" fontId="0" fillId="4" borderId="0" applyAlignment="1" pivotButton="0" quotePrefix="0" xfId="0">
      <alignment horizontal="center"/>
    </xf>
    <xf numFmtId="3" fontId="0" fillId="0" borderId="0" pivotButton="0" quotePrefix="0" xfId="0"/>
    <xf numFmtId="3" fontId="4" fillId="0" borderId="0" pivotButton="0" quotePrefix="0" xfId="0"/>
    <xf numFmtId="165" fontId="4" fillId="0" borderId="0" pivotButton="0" quotePrefix="0" xfId="0"/>
    <xf numFmtId="1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Claude</author>
  </authors>
  <commentList>
    <comment ref="C7" authorId="0" shapeId="0">
      <text>
        <t>From a search snippet of the 2022 FDD; not checked against the source text</t>
      </text>
    </comment>
    <comment ref="D7" authorId="0" shapeId="0">
      <text>
        <t>Headline figure from Franchise Chatter; not checked against the source text</t>
      </text>
    </comment>
    <comment ref="C10" authorId="0" shapeId="0">
      <text>
        <t>From a search snippet of the 2022 FDD; not checked against the source text</t>
      </text>
    </comment>
    <comment ref="B21" authorId="0" shapeId="0">
      <text>
        <t>Estimated: Item 19 average daily sales x 365. That table includes stores open only part of the year.</t>
      </text>
    </comment>
    <comment ref="D21" authorId="0" shapeId="0">
      <text>
        <t>Estimated: Item 19 average daily sales x 365. That table includes stores open only part of the year.</t>
      </text>
    </comment>
    <comment ref="B22" authorId="0" shapeId="0">
      <text>
        <t>Stores in the daily-sales table</t>
      </text>
    </comment>
    <comment ref="D22" authorId="0" shapeId="0">
      <text>
        <t>Stores in the daily-sales table</t>
      </text>
    </comment>
    <comment ref="B23" authorId="0" shapeId="0">
      <text>
        <t>Estimated: Item 19 average daily sales x 365. That table includes stores open only part of the year.</t>
      </text>
    </comment>
    <comment ref="D23" authorId="0" shapeId="0">
      <text>
        <t>Estimated: Item 19 average daily sales x 365. That table includes stores open only part of the year.</t>
      </text>
    </comment>
    <comment ref="B24" authorId="0" shapeId="0">
      <text>
        <t>Stores in the daily-sales table</t>
      </text>
    </comment>
    <comment ref="D24" authorId="0" shapeId="0">
      <text>
        <t>Stores in the daily-sales table</t>
      </text>
    </comment>
    <comment ref="B25" authorId="0" shapeId="0">
      <text>
        <t>Estimated: Item 19 average daily sales x 365. That table includes stores open only part of the year.</t>
      </text>
    </comment>
    <comment ref="D25" authorId="0" shapeId="0">
      <text>
        <t>Estimated: Item 19 average daily sales x 365. That table includes stores open only part of the year.</t>
      </text>
    </comment>
    <comment ref="F25" authorId="0" shapeId="0">
      <text>
        <t>Calculated by Claude from the 4 stores listed individually in Item 19</t>
      </text>
    </comment>
    <comment ref="G25" authorId="0" shapeId="0">
      <text>
        <t>Calculated by Claude from the 4 stores listed individually in Item 19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Human Bean &amp; Ziggi's Coffee: FDD Item 19 AUV and Item 20 Unit Counts</t>
        </is>
      </c>
    </row>
    <row r="2">
      <c r="A2" s="2" t="inlineStr">
        <is>
          <t>Fiscal years end Dec 31. Grey italic = estimate or unverified (see cell comment). Orange = not found.</t>
        </is>
      </c>
    </row>
    <row r="4">
      <c r="A4" s="3" t="inlineStr">
        <is>
          <t>THE HUMAN BEAN</t>
        </is>
      </c>
      <c r="B4" s="4" t="inlineStr">
        <is>
          <t>FY2020</t>
        </is>
      </c>
      <c r="C4" s="4" t="inlineStr">
        <is>
          <t>FY2021</t>
        </is>
      </c>
      <c r="D4" s="4" t="inlineStr">
        <is>
          <t>FY2022</t>
        </is>
      </c>
      <c r="E4" s="4" t="inlineStr">
        <is>
          <t>FY2023</t>
        </is>
      </c>
      <c r="F4" s="4" t="inlineStr">
        <is>
          <t>FY2024</t>
        </is>
      </c>
      <c r="G4" s="4" t="inlineStr">
        <is>
          <t>FY2025</t>
        </is>
      </c>
    </row>
    <row r="5">
      <c r="A5" s="2" t="inlineStr">
        <is>
          <t>FDD issuance year</t>
        </is>
      </c>
      <c r="B5" s="5" t="n">
        <v>2021</v>
      </c>
      <c r="C5" s="5" t="n">
        <v>2022</v>
      </c>
      <c r="D5" s="5" t="n">
        <v>2023</v>
      </c>
      <c r="E5" s="5" t="n">
        <v>2024</v>
      </c>
      <c r="F5" s="5" t="n">
        <v>2025</v>
      </c>
      <c r="G5" s="5" t="n">
        <v>2026</v>
      </c>
    </row>
    <row r="6">
      <c r="A6" s="6" t="inlineStr">
        <is>
          <t>Average Unit Volume (gross sales, full-year stores)</t>
        </is>
      </c>
      <c r="B6" s="7" t="n"/>
      <c r="C6" s="7" t="n"/>
      <c r="D6" s="7" t="n"/>
      <c r="E6" s="7" t="n"/>
      <c r="F6" s="7" t="n"/>
      <c r="G6" s="7" t="n"/>
    </row>
    <row r="7">
      <c r="A7" t="inlineStr">
        <is>
          <t>Franchised – average</t>
        </is>
      </c>
      <c r="B7" s="8" t="n">
        <v>817813</v>
      </c>
      <c r="C7" s="9" t="n">
        <v>916432</v>
      </c>
      <c r="D7" s="9" t="n">
        <v>884000</v>
      </c>
      <c r="E7" s="10" t="inlineStr">
        <is>
          <t>n/a</t>
        </is>
      </c>
      <c r="F7" s="8" t="n">
        <v>847648</v>
      </c>
      <c r="G7" s="8" t="n">
        <v>813587</v>
      </c>
    </row>
    <row r="8">
      <c r="A8" t="inlineStr">
        <is>
          <t>Franchised – median</t>
        </is>
      </c>
      <c r="B8" s="8" t="n">
        <v>799439</v>
      </c>
      <c r="C8" s="10" t="inlineStr">
        <is>
          <t>n/a</t>
        </is>
      </c>
      <c r="D8" s="10" t="inlineStr">
        <is>
          <t>n/a</t>
        </is>
      </c>
      <c r="E8" s="10" t="inlineStr">
        <is>
          <t>n/a</t>
        </is>
      </c>
      <c r="F8" s="8" t="n">
        <v>799586</v>
      </c>
      <c r="G8" s="8" t="n">
        <v>783570</v>
      </c>
    </row>
    <row r="9">
      <c r="A9" t="inlineStr">
        <is>
          <t>Franchised – # stores in sample</t>
        </is>
      </c>
      <c r="B9" s="11" t="n">
        <v>81</v>
      </c>
      <c r="C9" s="12" t="inlineStr">
        <is>
          <t>n/a</t>
        </is>
      </c>
      <c r="D9" s="12" t="inlineStr">
        <is>
          <t>n/a</t>
        </is>
      </c>
      <c r="E9" s="12" t="inlineStr">
        <is>
          <t>n/a</t>
        </is>
      </c>
      <c r="F9" s="11" t="n">
        <v>140</v>
      </c>
      <c r="G9" s="11" t="n">
        <v>155</v>
      </c>
    </row>
    <row r="10">
      <c r="A10" t="inlineStr">
        <is>
          <t>Company-operated (affiliate) – average</t>
        </is>
      </c>
      <c r="B10" s="8" t="n">
        <v>828448</v>
      </c>
      <c r="C10" s="9" t="n">
        <v>909849</v>
      </c>
      <c r="D10" s="10" t="inlineStr">
        <is>
          <t>n/a</t>
        </is>
      </c>
      <c r="E10" s="10" t="inlineStr">
        <is>
          <t>n/a</t>
        </is>
      </c>
      <c r="F10" s="8" t="n">
        <v>896744</v>
      </c>
      <c r="G10" s="8" t="n">
        <v>891136</v>
      </c>
    </row>
    <row r="11">
      <c r="A11" t="inlineStr">
        <is>
          <t>Company-operated – # stores in sample</t>
        </is>
      </c>
      <c r="B11" s="11" t="n">
        <v>13</v>
      </c>
      <c r="C11" s="12" t="inlineStr">
        <is>
          <t>n/a</t>
        </is>
      </c>
      <c r="D11" s="12" t="inlineStr">
        <is>
          <t>n/a</t>
        </is>
      </c>
      <c r="E11" s="12" t="inlineStr">
        <is>
          <t>n/a</t>
        </is>
      </c>
      <c r="F11" s="11" t="n">
        <v>11</v>
      </c>
      <c r="G11" s="11" t="n">
        <v>12</v>
      </c>
    </row>
    <row r="12">
      <c r="A12" s="6" t="inlineStr">
        <is>
          <t>Units at end of period (Item 20)</t>
        </is>
      </c>
      <c r="B12" s="7" t="n"/>
      <c r="C12" s="7" t="n"/>
      <c r="D12" s="7" t="n"/>
      <c r="E12" s="7" t="n"/>
      <c r="F12" s="7" t="n"/>
      <c r="G12" s="7" t="n"/>
    </row>
    <row r="13">
      <c r="A13" t="inlineStr">
        <is>
          <t>Franchised</t>
        </is>
      </c>
      <c r="B13" s="13" t="n">
        <v>100</v>
      </c>
      <c r="C13" s="13" t="n">
        <v>116</v>
      </c>
      <c r="D13" s="13" t="n">
        <v>133</v>
      </c>
      <c r="E13" s="13" t="n">
        <v>146</v>
      </c>
      <c r="F13" s="13" t="n">
        <v>165</v>
      </c>
      <c r="G13" s="13" t="n">
        <v>176</v>
      </c>
    </row>
    <row r="14">
      <c r="A14" t="inlineStr">
        <is>
          <t>Company-operated</t>
        </is>
      </c>
      <c r="B14" s="13" t="n">
        <v>13</v>
      </c>
      <c r="C14" s="13" t="n">
        <v>13</v>
      </c>
      <c r="D14" s="13" t="n">
        <v>12</v>
      </c>
      <c r="E14" s="13" t="n">
        <v>12</v>
      </c>
      <c r="F14" s="13" t="n">
        <v>12</v>
      </c>
      <c r="G14" s="13" t="n">
        <v>12</v>
      </c>
    </row>
    <row r="15">
      <c r="A15" t="inlineStr">
        <is>
          <t>Total</t>
        </is>
      </c>
      <c r="B15" s="14">
        <f>B13+B14</f>
        <v/>
      </c>
      <c r="C15" s="14">
        <f>C13+C14</f>
        <v/>
      </c>
      <c r="D15" s="14">
        <f>D13+D14</f>
        <v/>
      </c>
      <c r="E15" s="14">
        <f>E13+E14</f>
        <v/>
      </c>
      <c r="F15" s="14">
        <f>F13+F14</f>
        <v/>
      </c>
      <c r="G15" s="14">
        <f>G13+G14</f>
        <v/>
      </c>
    </row>
    <row r="16">
      <c r="A16" t="inlineStr">
        <is>
          <t>% franchised</t>
        </is>
      </c>
      <c r="B16" s="15">
        <f>B13/(B13+B14)</f>
        <v/>
      </c>
      <c r="C16" s="15">
        <f>C13/(C13+C14)</f>
        <v/>
      </c>
      <c r="D16" s="15">
        <f>D13/(D13+D14)</f>
        <v/>
      </c>
      <c r="E16" s="15">
        <f>E13/(E13+E14)</f>
        <v/>
      </c>
      <c r="F16" s="15">
        <f>F13/(F13+F14)</f>
        <v/>
      </c>
      <c r="G16" s="15">
        <f>G13/(G13+G14)</f>
        <v/>
      </c>
    </row>
    <row r="18">
      <c r="A18" s="3" t="inlineStr">
        <is>
          <t>ZIGGI'S COFFEE</t>
        </is>
      </c>
      <c r="B18" s="4" t="inlineStr">
        <is>
          <t>FY2020</t>
        </is>
      </c>
      <c r="C18" s="4" t="inlineStr">
        <is>
          <t>FY2021</t>
        </is>
      </c>
      <c r="D18" s="4" t="inlineStr">
        <is>
          <t>FY2022</t>
        </is>
      </c>
      <c r="E18" s="4" t="inlineStr">
        <is>
          <t>FY2023</t>
        </is>
      </c>
      <c r="F18" s="4" t="inlineStr">
        <is>
          <t>FY2024</t>
        </is>
      </c>
      <c r="G18" s="4" t="inlineStr">
        <is>
          <t>FY2025</t>
        </is>
      </c>
    </row>
    <row r="19">
      <c r="A19" s="2" t="inlineStr">
        <is>
          <t>FDD issuance year</t>
        </is>
      </c>
      <c r="B19" s="5" t="n">
        <v>2021</v>
      </c>
      <c r="C19" s="5" t="n">
        <v>2022</v>
      </c>
      <c r="D19" s="5" t="n">
        <v>2023</v>
      </c>
      <c r="E19" s="5" t="n">
        <v>2024</v>
      </c>
      <c r="F19" s="5" t="n">
        <v>2025</v>
      </c>
      <c r="G19" s="5" t="n">
        <v>2026</v>
      </c>
    </row>
    <row r="20">
      <c r="A20" s="6" t="inlineStr">
        <is>
          <t>Average Unit Volume (total sales, full-year stores)</t>
        </is>
      </c>
      <c r="B20" s="7" t="n"/>
      <c r="C20" s="7" t="n"/>
      <c r="D20" s="7" t="n"/>
      <c r="E20" s="7" t="n"/>
      <c r="F20" s="7" t="n"/>
      <c r="G20" s="7" t="n"/>
    </row>
    <row r="21">
      <c r="A21" t="inlineStr">
        <is>
          <t>Franchised Drive-Thru – average</t>
        </is>
      </c>
      <c r="B21" s="9" t="n">
        <v>681090</v>
      </c>
      <c r="C21" s="8" t="n">
        <v>847415</v>
      </c>
      <c r="D21" s="9" t="n">
        <v>818330</v>
      </c>
      <c r="E21" s="8" t="n">
        <v>784666</v>
      </c>
      <c r="F21" s="8" t="n">
        <v>794739</v>
      </c>
      <c r="G21" s="8" t="n">
        <v>836537</v>
      </c>
    </row>
    <row r="22">
      <c r="A22" t="inlineStr">
        <is>
          <t>Franchised Drive-Thru – # stores</t>
        </is>
      </c>
      <c r="B22" s="16" t="n">
        <v>12</v>
      </c>
      <c r="C22" s="11" t="n">
        <v>13</v>
      </c>
      <c r="D22" s="16" t="n">
        <v>30</v>
      </c>
      <c r="E22" s="11" t="n">
        <v>32</v>
      </c>
      <c r="F22" s="11" t="n">
        <v>40</v>
      </c>
      <c r="G22" s="11" t="n">
        <v>55</v>
      </c>
    </row>
    <row r="23">
      <c r="A23" t="inlineStr">
        <is>
          <t>Franchised Café w/ Drive-Thru – average</t>
        </is>
      </c>
      <c r="B23" s="9" t="n">
        <v>809935</v>
      </c>
      <c r="C23" s="8" t="n">
        <v>945440</v>
      </c>
      <c r="D23" s="9" t="n">
        <v>919800</v>
      </c>
      <c r="E23" s="8" t="n">
        <v>796838</v>
      </c>
      <c r="F23" s="8" t="n">
        <v>802361</v>
      </c>
      <c r="G23" s="8" t="n">
        <v>836010</v>
      </c>
    </row>
    <row r="24">
      <c r="A24" t="inlineStr">
        <is>
          <t>Franchised Café w/ Drive-Thru – # stores</t>
        </is>
      </c>
      <c r="B24" s="16" t="n">
        <v>6</v>
      </c>
      <c r="C24" s="11" t="n">
        <v>7</v>
      </c>
      <c r="D24" s="16" t="n">
        <v>23</v>
      </c>
      <c r="E24" s="11" t="n">
        <v>23</v>
      </c>
      <c r="F24" s="11" t="n">
        <v>29</v>
      </c>
      <c r="G24" s="11" t="n">
        <v>35</v>
      </c>
    </row>
    <row r="25">
      <c r="A25" t="inlineStr">
        <is>
          <t>Company-operated Drive-Thru – average (4 stores)</t>
        </is>
      </c>
      <c r="B25" s="9" t="n">
        <v>963965</v>
      </c>
      <c r="C25" s="8" t="n">
        <v>1145958</v>
      </c>
      <c r="D25" s="9" t="n">
        <v>1108140</v>
      </c>
      <c r="E25" s="8" t="n">
        <v>1063185</v>
      </c>
      <c r="F25" s="9" t="n">
        <v>1121431</v>
      </c>
      <c r="G25" s="9" t="n">
        <v>1151310</v>
      </c>
    </row>
    <row r="26">
      <c r="A26" s="6" t="inlineStr">
        <is>
          <t>Units at end of period (Item 20)</t>
        </is>
      </c>
      <c r="B26" s="7" t="n"/>
      <c r="C26" s="7" t="n"/>
      <c r="D26" s="7" t="n"/>
      <c r="E26" s="7" t="n"/>
      <c r="F26" s="7" t="n"/>
      <c r="G26" s="7" t="n"/>
    </row>
    <row r="27">
      <c r="A27" t="inlineStr">
        <is>
          <t>Franchised</t>
        </is>
      </c>
      <c r="B27" s="13" t="n">
        <v>20</v>
      </c>
      <c r="C27" s="13" t="n">
        <v>37</v>
      </c>
      <c r="D27" s="13" t="n">
        <v>57</v>
      </c>
      <c r="E27" s="13" t="n">
        <v>71</v>
      </c>
      <c r="F27" s="13" t="n">
        <v>93</v>
      </c>
      <c r="G27" s="13" t="n">
        <v>107</v>
      </c>
    </row>
    <row r="28">
      <c r="A28" t="inlineStr">
        <is>
          <t>Company-operated</t>
        </is>
      </c>
      <c r="B28" s="13" t="n">
        <v>7</v>
      </c>
      <c r="C28" s="13" t="n">
        <v>8</v>
      </c>
      <c r="D28" s="13" t="n">
        <v>8</v>
      </c>
      <c r="E28" s="13" t="n">
        <v>7</v>
      </c>
      <c r="F28" s="13" t="n">
        <v>7</v>
      </c>
      <c r="G28" s="13" t="n">
        <v>8</v>
      </c>
    </row>
    <row r="29">
      <c r="A29" t="inlineStr">
        <is>
          <t>Total</t>
        </is>
      </c>
      <c r="B29" s="14">
        <f>B27+B28</f>
        <v/>
      </c>
      <c r="C29" s="14">
        <f>C27+C28</f>
        <v/>
      </c>
      <c r="D29" s="14">
        <f>D27+D28</f>
        <v/>
      </c>
      <c r="E29" s="14">
        <f>E27+E28</f>
        <v/>
      </c>
      <c r="F29" s="14">
        <f>F27+F28</f>
        <v/>
      </c>
      <c r="G29" s="14">
        <f>G27+G28</f>
        <v/>
      </c>
    </row>
    <row r="30">
      <c r="A30" t="inlineStr">
        <is>
          <t>% franchised</t>
        </is>
      </c>
      <c r="B30" s="15">
        <f>B27/(B27+B28)</f>
        <v/>
      </c>
      <c r="C30" s="15">
        <f>C27/(C27+C28)</f>
        <v/>
      </c>
      <c r="D30" s="15">
        <f>D27/(D27+D28)</f>
        <v/>
      </c>
      <c r="E30" s="15">
        <f>E27/(E27+E28)</f>
        <v/>
      </c>
      <c r="F30" s="15">
        <f>F27/(F27+F28)</f>
        <v/>
      </c>
      <c r="G30" s="15">
        <f>G27/(G27+G28)</f>
        <v/>
      </c>
    </row>
    <row r="32">
      <c r="A32" s="17" t="inlineStr">
        <is>
          <t>Sources</t>
        </is>
      </c>
    </row>
    <row r="33">
      <c r="A33" s="2" t="inlineStr">
        <is>
          <t>Human Bean FY2024 &amp; FY2025: FDD PDFs (Items 19/20), restfinance.com/app/pdf/fdd/</t>
        </is>
      </c>
    </row>
    <row r="34">
      <c r="A34" s="2" t="inlineStr">
        <is>
          <t>Human Bean FY2020–FY2023: Franchise Chatter write-ups of the 2021–2024 FDDs</t>
        </is>
      </c>
    </row>
    <row r="35">
      <c r="A35" s="2" t="inlineStr">
        <is>
          <t>Ziggi's FY2024 &amp; FY2025: FDD PDFs (Items 19/20); the daily-sales table (Item 19, Table E) covers 2019–2025</t>
        </is>
      </c>
    </row>
    <row r="36">
      <c r="A36" s="2" t="inlineStr">
        <is>
          <t>Ziggi's FY2021 &amp; FY2023: Franchise Chatter write-ups of the 2022 and 2024 FDDs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2026-09-24T23:33:26Z</dcterms:created>
  <dcterms:modified xsi:type="dcterms:W3CDTF">2026-09-24T23:33:26Z</dcterms:modified>
</cp:coreProperties>
</file>